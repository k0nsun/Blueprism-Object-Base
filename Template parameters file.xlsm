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bookViews>
    <workbookView xWindow="0" yWindow="0" windowWidth="24000" windowHeight="9060" activeTab="3"/>
  </bookViews>
  <sheets>
    <sheet name="Read-me" sheetId="4" r:id="rId1"/>
    <sheet name="Process launch" sheetId="1" r:id="rId2"/>
    <sheet name="Robot" sheetId="3" r:id="rId3"/>
    <sheet name="Communications" sheetId="2" r:id="rId4"/>
    <sheet name="Report" sheetId="5" r:id="rId5"/>
  </sheets>
  <definedNames>
    <definedName name="Another_Value_1">'Process launch'!$C$36</definedName>
    <definedName name="Another_Value_2">'Process launch'!$C$37</definedName>
    <definedName name="Another_Value_3">'Process launch'!$C$38</definedName>
    <definedName name="anscount" hidden="1">1</definedName>
    <definedName name="Email">Communications!$A$1:$C$16</definedName>
    <definedName name="Folder_Error">'Process launch'!$C$28</definedName>
    <definedName name="Folder_Files_Output">'Process launch'!$C$30</definedName>
    <definedName name="Folder_Param_Save">'Process launch'!$C$31</definedName>
    <definedName name="Folder_Report">'Process launch'!$C$29</definedName>
    <definedName name="Input_Folder_1">'Process launch'!$C$16</definedName>
    <definedName name="Input_Folder_2">'Process launch'!$C$17</definedName>
    <definedName name="Main_File">Robot!$C$1</definedName>
    <definedName name="Month">'Process launch'!$C$10</definedName>
    <definedName name="ProcessReadiness">'Process launch'!$C$7</definedName>
    <definedName name="Report">Table1[#All]</definedName>
    <definedName name="Working_Folder_1">'Process launch'!$C$22</definedName>
    <definedName name="Working_Folder_2">'Process launch'!$C$23</definedName>
    <definedName name="Year">'Process launch'!$C$9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3" l="1"/>
  <c r="C8" i="2" l="1"/>
  <c r="B8" i="2"/>
  <c r="C16" i="3"/>
  <c r="C17" i="3" l="1"/>
  <c r="C23" i="3"/>
  <c r="C22" i="3"/>
  <c r="C29" i="3"/>
  <c r="C30" i="3"/>
  <c r="C28" i="3"/>
  <c r="C36" i="3"/>
  <c r="C10" i="3" l="1"/>
  <c r="C9" i="3"/>
  <c r="C13" i="2" l="1"/>
  <c r="B13" i="2"/>
  <c r="C11" i="2"/>
  <c r="B11" i="2"/>
  <c r="C9" i="2"/>
  <c r="B9" i="2"/>
</calcChain>
</file>

<file path=xl/sharedStrings.xml><?xml version="1.0" encoding="utf-8"?>
<sst xmlns="http://schemas.openxmlformats.org/spreadsheetml/2006/main" count="132" uniqueCount="90">
  <si>
    <t>Run date and period</t>
  </si>
  <si>
    <t>Process launch method</t>
  </si>
  <si>
    <t>Year</t>
  </si>
  <si>
    <t>Month</t>
  </si>
  <si>
    <t>Output files folders</t>
  </si>
  <si>
    <t>Path</t>
  </si>
  <si>
    <t>Folder Error</t>
  </si>
  <si>
    <t>Historique</t>
  </si>
  <si>
    <t>Rapport</t>
  </si>
  <si>
    <t>Save Parameters File</t>
  </si>
  <si>
    <t>N</t>
  </si>
  <si>
    <t>Parts</t>
  </si>
  <si>
    <t>Error</t>
  </si>
  <si>
    <t>End of process</t>
  </si>
  <si>
    <t>Send to 1</t>
  </si>
  <si>
    <t>Send to 2</t>
  </si>
  <si>
    <t>Send to 3</t>
  </si>
  <si>
    <t>Cc 1</t>
  </si>
  <si>
    <t>Cc 2</t>
  </si>
  <si>
    <t>Subject</t>
  </si>
  <si>
    <t>Content 1</t>
  </si>
  <si>
    <t>Content 1 HTML</t>
  </si>
  <si>
    <t>Content 2</t>
  </si>
  <si>
    <t>Content 2 HTML</t>
  </si>
  <si>
    <t>Content 3</t>
  </si>
  <si>
    <t>Content 3 HTML</t>
  </si>
  <si>
    <t>Attachment 1</t>
  </si>
  <si>
    <t>Attachment 2</t>
  </si>
  <si>
    <t>Attachment 3</t>
  </si>
  <si>
    <t>Automatic</t>
  </si>
  <si>
    <t>Red: Robot outputs</t>
  </si>
  <si>
    <t>Green: Sheets that contain mapping tables to be maintain by the user</t>
  </si>
  <si>
    <t xml:space="preserve">Orange: Sheets that contain data automatically populated. </t>
  </si>
  <si>
    <t xml:space="preserve">Blue: Sheets that contain inputs to be populated by the user. </t>
  </si>
  <si>
    <t>Sheet colors</t>
  </si>
  <si>
    <t>Calculated parameters used by the robot</t>
  </si>
  <si>
    <t>X</t>
  </si>
  <si>
    <t>User parameters</t>
  </si>
  <si>
    <t>Color code</t>
  </si>
  <si>
    <t>Description</t>
  </si>
  <si>
    <t xml:space="preserve">It contains the parameters that need to be filled in, in order to launch the process. </t>
  </si>
  <si>
    <t>The file is part of the template process</t>
  </si>
  <si>
    <t>Objectives</t>
  </si>
  <si>
    <t>Inputs files folders</t>
  </si>
  <si>
    <t>Working folders</t>
  </si>
  <si>
    <t>Value</t>
  </si>
  <si>
    <t>Main File</t>
  </si>
  <si>
    <t>Input Folder 1</t>
  </si>
  <si>
    <t>Input Folder 2</t>
  </si>
  <si>
    <t>Others Parameters</t>
  </si>
  <si>
    <t>Lorem Ipsum</t>
  </si>
  <si>
    <t>Quarter date</t>
  </si>
  <si>
    <t>Param 1</t>
  </si>
  <si>
    <t>Version Param File</t>
  </si>
  <si>
    <t>V1.0</t>
  </si>
  <si>
    <t>Folder with all parameters files when that process has worked</t>
  </si>
  <si>
    <t>Folder with all files for users</t>
  </si>
  <si>
    <t>Folder with all rapport of working</t>
  </si>
  <si>
    <t>Folder with all rapport of errors</t>
  </si>
  <si>
    <t>Working folder 1</t>
  </si>
  <si>
    <t>Working folder sub</t>
  </si>
  <si>
    <t>Folder temp for process</t>
  </si>
  <si>
    <t>Sub folder temp for process</t>
  </si>
  <si>
    <t>Folder input</t>
  </si>
  <si>
    <t xml:space="preserve">Is the process ready to be launched? </t>
  </si>
  <si>
    <t>Y</t>
  </si>
  <si>
    <t>C:\temp\temp\</t>
  </si>
  <si>
    <t>C:\temp\temp\Input1\</t>
  </si>
  <si>
    <t>C:\temp\temp\Input2\</t>
  </si>
  <si>
    <t>C:\temp\temp\Working\</t>
  </si>
  <si>
    <t>C:\temp\temp\Working\Sub\</t>
  </si>
  <si>
    <t>C:\temp\temp\Output\Err\</t>
  </si>
  <si>
    <t>C:\temp\temp\Output\Rapport\</t>
  </si>
  <si>
    <t>C:\temp\temp\Output\Historique\</t>
  </si>
  <si>
    <t>C:\temp\temp\Robot - Param File\</t>
  </si>
  <si>
    <t xml:space="preserve">Kind Regards
The Blueprism's robot
https://www.blueprism.com/
</t>
  </si>
  <si>
    <t xml:space="preserve">Kind Regards
The Blueprism's robot
https://www.blueprism.com/
</t>
  </si>
  <si>
    <t>Error Template Process :(</t>
  </si>
  <si>
    <t>End of process Template Process :D</t>
  </si>
  <si>
    <t>sarah.connor@terminator.com</t>
  </si>
  <si>
    <t>Column1</t>
  </si>
  <si>
    <t>Column2</t>
  </si>
  <si>
    <t>Column3</t>
  </si>
  <si>
    <t>Value 1</t>
  </si>
  <si>
    <t>Value 2</t>
  </si>
  <si>
    <t>Value 3</t>
  </si>
  <si>
    <t>Value 4</t>
  </si>
  <si>
    <t>Value 5</t>
  </si>
  <si>
    <t>Value 6</t>
  </si>
  <si>
    <t>rickandmorty@schwifty.org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</si>
</sst>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2768A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3884D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Protection="1"/>
    <xf numFmtId="0" fontId="2" fillId="2" borderId="3" xfId="0" applyFont="1" applyFill="1" applyBorder="1" applyAlignment="1" applyProtection="1">
      <alignment horizontal="center" vertical="center" wrapText="1"/>
    </xf>
    <xf numFmtId="0" fontId="0" fillId="0" borderId="0" xfId="0" applyNumberFormat="1" applyAlignment="1" applyProtection="1">
      <alignment horizontal="center"/>
    </xf>
    <xf numFmtId="0" fontId="3" fillId="3" borderId="3" xfId="0" applyNumberFormat="1" applyFont="1" applyFill="1" applyBorder="1" applyAlignment="1" applyProtection="1">
      <alignment horizontal="center"/>
      <protection locked="0"/>
    </xf>
    <xf numFmtId="0" fontId="0" fillId="4" borderId="3" xfId="0" quotePrefix="1" applyNumberFormat="1" applyFill="1" applyBorder="1" applyAlignment="1" applyProtection="1">
      <alignment horizontal="center" vertical="center"/>
    </xf>
    <xf numFmtId="0" fontId="0" fillId="0" borderId="3" xfId="0" applyNumberFormat="1" applyBorder="1" applyAlignment="1" applyProtection="1">
      <alignment horizontal="center" vertical="center"/>
    </xf>
    <xf numFmtId="0" fontId="0" fillId="0" borderId="0" xfId="0" applyNumberFormat="1" applyProtection="1"/>
    <xf numFmtId="0" fontId="3" fillId="3" borderId="3" xfId="0" applyFont="1" applyFill="1" applyBorder="1" applyAlignment="1" applyProtection="1">
      <alignment wrapText="1"/>
      <protection locked="0"/>
    </xf>
    <xf numFmtId="0" fontId="3" fillId="4" borderId="3" xfId="0" applyFont="1" applyFill="1" applyBorder="1" applyAlignment="1" applyProtection="1">
      <alignment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4" fillId="3" borderId="3" xfId="1" applyFill="1" applyBorder="1" applyAlignment="1" applyProtection="1">
      <alignment vertical="top" wrapText="1"/>
      <protection locked="0"/>
    </xf>
    <xf numFmtId="0" fontId="3" fillId="3" borderId="3" xfId="0" applyFont="1" applyFill="1" applyBorder="1" applyAlignment="1" applyProtection="1">
      <alignment vertical="top" wrapText="1"/>
      <protection locked="0"/>
    </xf>
    <xf numFmtId="0" fontId="3" fillId="3" borderId="3" xfId="0" applyFont="1" applyFill="1" applyBorder="1" applyAlignment="1" applyProtection="1">
      <alignment vertical="top" wrapText="1"/>
    </xf>
    <xf numFmtId="0" fontId="0" fillId="0" borderId="0" xfId="0" applyAlignment="1" applyProtection="1">
      <alignment vertical="top"/>
    </xf>
    <xf numFmtId="0" fontId="5" fillId="5" borderId="0" xfId="0" applyFont="1" applyFill="1" applyAlignment="1" applyProtection="1">
      <alignment vertical="top"/>
    </xf>
    <xf numFmtId="0" fontId="5" fillId="5" borderId="0" xfId="0" applyFont="1" applyFill="1" applyAlignment="1" applyProtection="1">
      <alignment vertical="top" wrapText="1"/>
    </xf>
    <xf numFmtId="0" fontId="5" fillId="5" borderId="3" xfId="0" applyFont="1" applyFill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center" vertical="center" wrapText="1"/>
    </xf>
    <xf numFmtId="0" fontId="0" fillId="0" borderId="3" xfId="0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1" fillId="9" borderId="1" xfId="0" applyFont="1" applyFill="1" applyBorder="1" applyAlignment="1">
      <alignment horizontal="center" vertical="center" wrapText="1"/>
    </xf>
    <xf numFmtId="0" fontId="6" fillId="0" borderId="3" xfId="0" applyFont="1" applyBorder="1"/>
    <xf numFmtId="0" fontId="0" fillId="0" borderId="3" xfId="0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 applyProtection="1">
      <alignment wrapText="1"/>
    </xf>
    <xf numFmtId="0" fontId="4" fillId="4" borderId="3" xfId="1" quotePrefix="1" applyNumberFormat="1" applyFill="1" applyBorder="1" applyAlignment="1" applyProtection="1">
      <alignment horizontal="left" vertical="center"/>
    </xf>
    <xf numFmtId="49" fontId="3" fillId="4" borderId="3" xfId="0" applyNumberFormat="1" applyFont="1" applyFill="1" applyBorder="1" applyAlignment="1" applyProtection="1">
      <alignment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49" fontId="0" fillId="0" borderId="0" xfId="0" applyNumberFormat="1" applyProtection="1"/>
    <xf numFmtId="49" fontId="3" fillId="3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36">
    <dxf>
      <fill>
        <patternFill patternType="darkGray"/>
      </fill>
    </dxf>
    <dxf>
      <fill>
        <patternFill patternType="darkGray"/>
      </fill>
    </dxf>
    <dxf>
      <fill>
        <patternFill patternType="darkGray"/>
      </fill>
    </dxf>
    <dxf>
      <fill>
        <patternFill patternType="darkGray"/>
      </fill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184149</xdr:colOff>
      <xdr:row>1</xdr:row>
      <xdr:rowOff>63500</xdr:rowOff>
    </xdr:from>
    <xdr:to>
      <xdr:col>5</xdr:col>
      <xdr:colOff>367692</xdr:colOff>
      <xdr:row>6</xdr:row>
      <xdr:rowOff>76200</xdr:rowOff>
    </xdr:to>
    <xdr:pic>
      <xdr:nvPicPr>
        <xdr:cNvPr id="2" name="Image 1" descr="EH_Logo_no_straplineRGB">
          <a:extLst>
            <a:ext uri="{FF2B5EF4-FFF2-40B4-BE49-F238E27FC236}">
              <a16:creationId xmlns:a16="http://schemas.microsoft.com/office/drawing/2014/main" id="{C05DBF2D-A9F1-47B8-9E12-61D61FC33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49" y="254000"/>
          <a:ext cx="3803043" cy="965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184149</xdr:colOff>
      <xdr:row>1</xdr:row>
      <xdr:rowOff>63500</xdr:rowOff>
    </xdr:from>
    <xdr:to>
      <xdr:col>5</xdr:col>
      <xdr:colOff>367692</xdr:colOff>
      <xdr:row>6</xdr:row>
      <xdr:rowOff>76200</xdr:rowOff>
    </xdr:to>
    <xdr:pic>
      <xdr:nvPicPr>
        <xdr:cNvPr id="3" name="Image 1" descr="EH_Logo_no_straplineRGB">
          <a:extLst>
            <a:ext uri="{FF2B5EF4-FFF2-40B4-BE49-F238E27FC236}">
              <a16:creationId xmlns:a16="http://schemas.microsoft.com/office/drawing/2014/main" id="{F2ED2C9F-444C-4181-967F-33ED6BE91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49" y="254000"/>
          <a:ext cx="3803043" cy="965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C7" totalsRowShown="0">
  <autoFilter ref="A1:C7"/>
  <tableColumns count="3">
    <tableColumn id="1" name="Column1"/>
    <tableColumn id="2" name="Column2"/>
    <tableColumn id="3" name="Column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yoffice.accenture.com/personal/jacob_kashani_accenture_com/Documents/Documents/EH/06.%20IDS/IDS%20Reporting/Participations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rickandmorty@schwifty.org" TargetMode="External"/><Relationship Id="rId2" Type="http://schemas.openxmlformats.org/officeDocument/2006/relationships/hyperlink" Target="mailto:sarah.connor@terminator.com" TargetMode="External"/><Relationship Id="rId1" Type="http://schemas.openxmlformats.org/officeDocument/2006/relationships/hyperlink" Target="mailto:sarah.connor@terminato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1:O29"/>
  <sheetViews>
    <sheetView showGridLines="0" topLeftCell="A10" workbookViewId="0">
      <selection activeCell="D22" sqref="D22"/>
    </sheetView>
  </sheetViews>
  <sheetFormatPr defaultColWidth="10.85546875" defaultRowHeight="15" x14ac:dyDescent="0.25"/>
  <cols>
    <col min="2" max="2" width="61.7109375" customWidth="1"/>
  </cols>
  <sheetData>
    <row r="11" spans="1:15" ht="21" x14ac:dyDescent="0.35">
      <c r="A11" s="35" t="s">
        <v>42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</row>
    <row r="13" spans="1:15" x14ac:dyDescent="0.25">
      <c r="A13" t="s">
        <v>41</v>
      </c>
    </row>
    <row r="14" spans="1:15" x14ac:dyDescent="0.25">
      <c r="A14" t="s">
        <v>40</v>
      </c>
    </row>
    <row r="17" spans="1:15" ht="21" x14ac:dyDescent="0.35">
      <c r="A17" s="35" t="s">
        <v>39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</row>
    <row r="20" spans="1:15" x14ac:dyDescent="0.25">
      <c r="B20" s="25" t="s">
        <v>38</v>
      </c>
    </row>
    <row r="21" spans="1:15" x14ac:dyDescent="0.25">
      <c r="A21" s="27" t="s">
        <v>10</v>
      </c>
      <c r="B21" s="20" t="s">
        <v>37</v>
      </c>
    </row>
    <row r="22" spans="1:15" x14ac:dyDescent="0.25">
      <c r="A22" s="26" t="s">
        <v>36</v>
      </c>
      <c r="B22" s="20" t="s">
        <v>35</v>
      </c>
    </row>
    <row r="25" spans="1:15" x14ac:dyDescent="0.25">
      <c r="B25" s="25" t="s">
        <v>34</v>
      </c>
    </row>
    <row r="26" spans="1:15" x14ac:dyDescent="0.25">
      <c r="A26" s="24"/>
      <c r="B26" s="20" t="s">
        <v>33</v>
      </c>
    </row>
    <row r="27" spans="1:15" x14ac:dyDescent="0.25">
      <c r="A27" s="23"/>
      <c r="B27" s="20" t="s">
        <v>32</v>
      </c>
    </row>
    <row r="28" spans="1:15" x14ac:dyDescent="0.25">
      <c r="A28" s="22"/>
      <c r="B28" s="20" t="s">
        <v>31</v>
      </c>
    </row>
    <row r="29" spans="1:15" x14ac:dyDescent="0.25">
      <c r="A29" s="21"/>
      <c r="B29" s="20" t="s">
        <v>30</v>
      </c>
    </row>
  </sheetData>
  <mergeCells count="2">
    <mergeCell ref="A11:O11"/>
    <mergeCell ref="A17:O17"/>
  </mergeCells>
  <dataValidations count="1">
    <dataValidation type="list" allowBlank="1" showInputMessage="1" showErrorMessage="1" sqref="A21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B3:D38"/>
  <sheetViews>
    <sheetView zoomScale="70" zoomScaleNormal="70" workbookViewId="0">
      <selection activeCell="C17" sqref="C17"/>
    </sheetView>
  </sheetViews>
  <sheetFormatPr defaultColWidth="10.85546875" defaultRowHeight="15" x14ac:dyDescent="0.25"/>
  <cols>
    <col min="1" max="1" width="5.28515625" style="1" customWidth="1"/>
    <col min="2" max="2" width="51.85546875" style="1" customWidth="1"/>
    <col min="3" max="3" width="38.5703125" style="7" customWidth="1"/>
    <col min="4" max="4" width="74.42578125" style="1" customWidth="1"/>
    <col min="5" max="16384" width="10.85546875" style="1"/>
  </cols>
  <sheetData>
    <row r="3" spans="2:4" x14ac:dyDescent="0.25">
      <c r="B3" s="36" t="s">
        <v>0</v>
      </c>
      <c r="C3" s="37"/>
    </row>
    <row r="5" spans="2:4" x14ac:dyDescent="0.25">
      <c r="B5" s="2" t="s">
        <v>1</v>
      </c>
      <c r="C5" s="4" t="s">
        <v>29</v>
      </c>
    </row>
    <row r="6" spans="2:4" x14ac:dyDescent="0.25">
      <c r="C6" s="1"/>
    </row>
    <row r="7" spans="2:4" x14ac:dyDescent="0.25">
      <c r="B7" s="2" t="s">
        <v>64</v>
      </c>
      <c r="C7" s="34" t="s">
        <v>65</v>
      </c>
      <c r="D7" s="33"/>
    </row>
    <row r="9" spans="2:4" x14ac:dyDescent="0.25">
      <c r="B9" s="2" t="s">
        <v>2</v>
      </c>
      <c r="C9" s="5">
        <v>2017</v>
      </c>
    </row>
    <row r="10" spans="2:4" x14ac:dyDescent="0.25">
      <c r="B10" s="2" t="s">
        <v>3</v>
      </c>
      <c r="C10" s="6">
        <v>12</v>
      </c>
    </row>
    <row r="12" spans="2:4" x14ac:dyDescent="0.25">
      <c r="C12" s="1"/>
    </row>
    <row r="13" spans="2:4" x14ac:dyDescent="0.25">
      <c r="B13" s="31" t="s">
        <v>43</v>
      </c>
      <c r="C13" s="32"/>
    </row>
    <row r="14" spans="2:4" x14ac:dyDescent="0.25">
      <c r="C14" s="1"/>
    </row>
    <row r="15" spans="2:4" x14ac:dyDescent="0.25">
      <c r="B15" s="19"/>
      <c r="C15" s="2" t="s">
        <v>5</v>
      </c>
      <c r="D15" s="2" t="s">
        <v>39</v>
      </c>
    </row>
    <row r="16" spans="2:4" x14ac:dyDescent="0.25">
      <c r="B16" s="2" t="s">
        <v>47</v>
      </c>
      <c r="C16" s="8" t="s">
        <v>67</v>
      </c>
      <c r="D16" s="8" t="s">
        <v>63</v>
      </c>
    </row>
    <row r="17" spans="2:4" x14ac:dyDescent="0.25">
      <c r="B17" s="2" t="s">
        <v>48</v>
      </c>
      <c r="C17" s="8" t="s">
        <v>68</v>
      </c>
      <c r="D17" s="8" t="s">
        <v>63</v>
      </c>
    </row>
    <row r="19" spans="2:4" x14ac:dyDescent="0.25">
      <c r="B19" s="31" t="s">
        <v>44</v>
      </c>
      <c r="C19" s="32"/>
    </row>
    <row r="21" spans="2:4" x14ac:dyDescent="0.25">
      <c r="B21" s="19"/>
      <c r="C21" s="2" t="s">
        <v>5</v>
      </c>
      <c r="D21" s="2" t="s">
        <v>39</v>
      </c>
    </row>
    <row r="22" spans="2:4" x14ac:dyDescent="0.25">
      <c r="B22" s="2" t="s">
        <v>59</v>
      </c>
      <c r="C22" s="8" t="s">
        <v>69</v>
      </c>
      <c r="D22" s="8" t="s">
        <v>61</v>
      </c>
    </row>
    <row r="23" spans="2:4" x14ac:dyDescent="0.25">
      <c r="B23" s="2" t="s">
        <v>60</v>
      </c>
      <c r="C23" s="8" t="s">
        <v>70</v>
      </c>
      <c r="D23" s="8" t="s">
        <v>62</v>
      </c>
    </row>
    <row r="25" spans="2:4" x14ac:dyDescent="0.25">
      <c r="B25" s="31" t="s">
        <v>4</v>
      </c>
      <c r="C25" s="32"/>
    </row>
    <row r="27" spans="2:4" x14ac:dyDescent="0.25">
      <c r="B27" s="19"/>
      <c r="C27" s="2" t="s">
        <v>5</v>
      </c>
      <c r="D27" s="2" t="s">
        <v>39</v>
      </c>
    </row>
    <row r="28" spans="2:4" x14ac:dyDescent="0.25">
      <c r="B28" s="2" t="s">
        <v>6</v>
      </c>
      <c r="C28" s="9" t="s">
        <v>71</v>
      </c>
      <c r="D28" s="9" t="s">
        <v>58</v>
      </c>
    </row>
    <row r="29" spans="2:4" x14ac:dyDescent="0.25">
      <c r="B29" s="2" t="s">
        <v>8</v>
      </c>
      <c r="C29" s="9" t="s">
        <v>72</v>
      </c>
      <c r="D29" s="9" t="s">
        <v>57</v>
      </c>
    </row>
    <row r="30" spans="2:4" x14ac:dyDescent="0.25">
      <c r="B30" s="2" t="s">
        <v>7</v>
      </c>
      <c r="C30" s="9" t="s">
        <v>73</v>
      </c>
      <c r="D30" s="9" t="s">
        <v>56</v>
      </c>
    </row>
    <row r="31" spans="2:4" x14ac:dyDescent="0.25">
      <c r="B31" s="2" t="s">
        <v>9</v>
      </c>
      <c r="C31" s="9" t="s">
        <v>74</v>
      </c>
      <c r="D31" s="9" t="s">
        <v>55</v>
      </c>
    </row>
    <row r="33" spans="2:3" x14ac:dyDescent="0.25">
      <c r="B33" s="31" t="s">
        <v>49</v>
      </c>
      <c r="C33" s="32"/>
    </row>
    <row r="35" spans="2:3" x14ac:dyDescent="0.25">
      <c r="B35" s="19"/>
      <c r="C35" s="2" t="s">
        <v>45</v>
      </c>
    </row>
    <row r="36" spans="2:3" x14ac:dyDescent="0.25">
      <c r="B36" s="2" t="s">
        <v>51</v>
      </c>
      <c r="C36" s="28">
        <v>43100</v>
      </c>
    </row>
    <row r="37" spans="2:3" x14ac:dyDescent="0.25">
      <c r="B37" s="2" t="s">
        <v>53</v>
      </c>
      <c r="C37" s="30" t="s">
        <v>54</v>
      </c>
    </row>
    <row r="38" spans="2:3" x14ac:dyDescent="0.25">
      <c r="B38" s="2" t="s">
        <v>52</v>
      </c>
      <c r="C38" s="28" t="s">
        <v>50</v>
      </c>
    </row>
  </sheetData>
  <sheetProtection sheet="1" objects="1" scenarios="1"/>
  <mergeCells count="1">
    <mergeCell ref="B3:C3"/>
  </mergeCells>
  <conditionalFormatting sqref="C18:C20 C22:C23">
    <cfRule type="cellIs" dxfId="35" priority="15" operator="equal">
      <formula>"N"</formula>
    </cfRule>
    <cfRule type="cellIs" dxfId="34" priority="16" operator="equal">
      <formula>"Y"</formula>
    </cfRule>
  </conditionalFormatting>
  <conditionalFormatting sqref="D16:D17">
    <cfRule type="cellIs" dxfId="33" priority="13" operator="equal">
      <formula>"N"</formula>
    </cfRule>
    <cfRule type="cellIs" dxfId="32" priority="14" operator="equal">
      <formula>"Y"</formula>
    </cfRule>
  </conditionalFormatting>
  <conditionalFormatting sqref="D22">
    <cfRule type="cellIs" dxfId="31" priority="11" operator="equal">
      <formula>"N"</formula>
    </cfRule>
    <cfRule type="cellIs" dxfId="30" priority="12" operator="equal">
      <formula>"Y"</formula>
    </cfRule>
  </conditionalFormatting>
  <conditionalFormatting sqref="C15">
    <cfRule type="cellIs" dxfId="29" priority="9" operator="equal">
      <formula>"N"</formula>
    </cfRule>
    <cfRule type="cellIs" dxfId="28" priority="10" operator="equal">
      <formula>"Y"</formula>
    </cfRule>
  </conditionalFormatting>
  <conditionalFormatting sqref="C21">
    <cfRule type="cellIs" dxfId="27" priority="7" operator="equal">
      <formula>"N"</formula>
    </cfRule>
    <cfRule type="cellIs" dxfId="26" priority="8" operator="equal">
      <formula>"Y"</formula>
    </cfRule>
  </conditionalFormatting>
  <conditionalFormatting sqref="C27">
    <cfRule type="cellIs" dxfId="25" priority="5" operator="equal">
      <formula>"N"</formula>
    </cfRule>
    <cfRule type="cellIs" dxfId="24" priority="6" operator="equal">
      <formula>"Y"</formula>
    </cfRule>
  </conditionalFormatting>
  <conditionalFormatting sqref="D23">
    <cfRule type="cellIs" dxfId="23" priority="3" operator="equal">
      <formula>"N"</formula>
    </cfRule>
    <cfRule type="cellIs" dxfId="22" priority="4" operator="equal">
      <formula>"Y"</formula>
    </cfRule>
  </conditionalFormatting>
  <conditionalFormatting sqref="C16:C17">
    <cfRule type="cellIs" dxfId="21" priority="1" operator="equal">
      <formula>"N"</formula>
    </cfRule>
    <cfRule type="cellIs" dxfId="20" priority="2" operator="equal">
      <formula>"Y"</formula>
    </cfRule>
  </conditionalFormatting>
  <dataValidations count="2">
    <dataValidation type="list" allowBlank="1" showInputMessage="1" showErrorMessage="1" sqref="C5">
      <formula1>"Manual,Automatic"</formula1>
    </dataValidation>
    <dataValidation type="list" allowBlank="1" showInputMessage="1" showErrorMessage="1" sqref="C7">
      <formula1>"Y,N"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B1:D38"/>
  <sheetViews>
    <sheetView zoomScale="80" zoomScaleNormal="80" workbookViewId="0">
      <selection activeCell="D5" sqref="D5"/>
    </sheetView>
  </sheetViews>
  <sheetFormatPr defaultColWidth="10.85546875" defaultRowHeight="15" x14ac:dyDescent="0.25"/>
  <cols>
    <col min="1" max="1" width="5.28515625" style="1" customWidth="1"/>
    <col min="2" max="2" width="51.85546875" style="1" customWidth="1"/>
    <col min="3" max="3" width="38.5703125" style="7" customWidth="1"/>
    <col min="4" max="4" width="74.42578125" style="1" customWidth="1"/>
    <col min="5" max="16384" width="10.85546875" style="1"/>
  </cols>
  <sheetData>
    <row r="1" spans="2:4" x14ac:dyDescent="0.25">
      <c r="B1" s="2" t="s">
        <v>46</v>
      </c>
      <c r="C1" s="29" t="s">
        <v>66</v>
      </c>
    </row>
    <row r="3" spans="2:4" x14ac:dyDescent="0.25">
      <c r="B3" s="36" t="s">
        <v>0</v>
      </c>
      <c r="C3" s="37"/>
    </row>
    <row r="5" spans="2:4" x14ac:dyDescent="0.25">
      <c r="C5" s="1"/>
    </row>
    <row r="6" spans="2:4" x14ac:dyDescent="0.25">
      <c r="C6" s="3"/>
    </row>
    <row r="9" spans="2:4" x14ac:dyDescent="0.25">
      <c r="B9" s="2" t="s">
        <v>2</v>
      </c>
      <c r="C9" s="5">
        <f ca="1">YEAR(NOW())</f>
        <v>2018</v>
      </c>
    </row>
    <row r="10" spans="2:4" x14ac:dyDescent="0.25">
      <c r="B10" s="2" t="s">
        <v>3</v>
      </c>
      <c r="C10" s="6">
        <f ca="1">MONTH(NOW())</f>
        <v>2</v>
      </c>
    </row>
    <row r="12" spans="2:4" x14ac:dyDescent="0.25">
      <c r="C12" s="1"/>
    </row>
    <row r="13" spans="2:4" x14ac:dyDescent="0.25">
      <c r="B13" s="31" t="s">
        <v>43</v>
      </c>
      <c r="C13" s="32"/>
    </row>
    <row r="14" spans="2:4" x14ac:dyDescent="0.25">
      <c r="C14" s="1"/>
    </row>
    <row r="15" spans="2:4" x14ac:dyDescent="0.25">
      <c r="B15" s="19"/>
      <c r="C15" s="2" t="s">
        <v>5</v>
      </c>
      <c r="D15" s="2" t="s">
        <v>39</v>
      </c>
    </row>
    <row r="16" spans="2:4" x14ac:dyDescent="0.25">
      <c r="B16" s="2" t="s">
        <v>47</v>
      </c>
      <c r="C16" s="8" t="str">
        <f>Main_File&amp; "Input1\"</f>
        <v>C:\temp\temp\Input1\</v>
      </c>
      <c r="D16" s="8" t="s">
        <v>63</v>
      </c>
    </row>
    <row r="17" spans="2:4" x14ac:dyDescent="0.25">
      <c r="B17" s="2" t="s">
        <v>48</v>
      </c>
      <c r="C17" s="8" t="str">
        <f>Main_File&amp; "Input2\"</f>
        <v>C:\temp\temp\Input2\</v>
      </c>
      <c r="D17" s="8" t="s">
        <v>63</v>
      </c>
    </row>
    <row r="19" spans="2:4" x14ac:dyDescent="0.25">
      <c r="B19" s="31" t="s">
        <v>44</v>
      </c>
      <c r="C19" s="32"/>
    </row>
    <row r="21" spans="2:4" x14ac:dyDescent="0.25">
      <c r="B21" s="19"/>
      <c r="C21" s="2" t="s">
        <v>5</v>
      </c>
      <c r="D21" s="2" t="s">
        <v>39</v>
      </c>
    </row>
    <row r="22" spans="2:4" x14ac:dyDescent="0.25">
      <c r="B22" s="2" t="s">
        <v>59</v>
      </c>
      <c r="C22" s="8" t="str">
        <f>Main_File&amp; "Working\"</f>
        <v>C:\temp\temp\Working\</v>
      </c>
      <c r="D22" s="8" t="s">
        <v>61</v>
      </c>
    </row>
    <row r="23" spans="2:4" x14ac:dyDescent="0.25">
      <c r="B23" s="2" t="s">
        <v>60</v>
      </c>
      <c r="C23" s="8" t="str">
        <f>Main_File&amp; "Working\Sub\"</f>
        <v>C:\temp\temp\Working\Sub\</v>
      </c>
      <c r="D23" s="8" t="s">
        <v>62</v>
      </c>
    </row>
    <row r="25" spans="2:4" x14ac:dyDescent="0.25">
      <c r="B25" s="31" t="s">
        <v>4</v>
      </c>
      <c r="C25" s="32"/>
    </row>
    <row r="27" spans="2:4" x14ac:dyDescent="0.25">
      <c r="B27" s="19"/>
      <c r="C27" s="2" t="s">
        <v>5</v>
      </c>
      <c r="D27" s="2" t="s">
        <v>39</v>
      </c>
    </row>
    <row r="28" spans="2:4" x14ac:dyDescent="0.25">
      <c r="B28" s="2" t="s">
        <v>6</v>
      </c>
      <c r="C28" s="9" t="str">
        <f>Main_File&amp; "Output\Err\"</f>
        <v>C:\temp\temp\Output\Err\</v>
      </c>
      <c r="D28" s="9" t="s">
        <v>58</v>
      </c>
    </row>
    <row r="29" spans="2:4" x14ac:dyDescent="0.25">
      <c r="B29" s="2" t="s">
        <v>8</v>
      </c>
      <c r="C29" s="9" t="str">
        <f>Main_File&amp; "Output\Rapport\"</f>
        <v>C:\temp\temp\Output\Rapport\</v>
      </c>
      <c r="D29" s="9" t="s">
        <v>57</v>
      </c>
    </row>
    <row r="30" spans="2:4" x14ac:dyDescent="0.25">
      <c r="B30" s="2" t="s">
        <v>7</v>
      </c>
      <c r="C30" s="9" t="str">
        <f>Main_File &amp; "Output\Historique\"</f>
        <v>C:\temp\temp\Output\Historique\</v>
      </c>
      <c r="D30" s="9" t="s">
        <v>56</v>
      </c>
    </row>
    <row r="31" spans="2:4" ht="30" x14ac:dyDescent="0.25">
      <c r="B31" s="2" t="s">
        <v>9</v>
      </c>
      <c r="C31" s="9" t="str">
        <f>Main_File  &amp; "Output\Robot - Param File\"</f>
        <v>C:\temp\temp\Output\Robot - Param File\</v>
      </c>
      <c r="D31" s="9" t="s">
        <v>55</v>
      </c>
    </row>
    <row r="33" spans="2:3" x14ac:dyDescent="0.25">
      <c r="B33" s="31" t="s">
        <v>49</v>
      </c>
      <c r="C33" s="32"/>
    </row>
    <row r="35" spans="2:3" x14ac:dyDescent="0.25">
      <c r="B35" s="19"/>
      <c r="C35" s="2" t="s">
        <v>45</v>
      </c>
    </row>
    <row r="36" spans="2:3" x14ac:dyDescent="0.25">
      <c r="B36" s="2" t="s">
        <v>51</v>
      </c>
      <c r="C36" s="28">
        <f ca="1">DATE(YEAR(NOW()),INT((MONTH(NOW())-1)/3)*3+4,0)</f>
        <v>43190</v>
      </c>
    </row>
    <row r="37" spans="2:3" x14ac:dyDescent="0.25">
      <c r="B37" s="2" t="s">
        <v>53</v>
      </c>
      <c r="C37" s="30" t="s">
        <v>54</v>
      </c>
    </row>
    <row r="38" spans="2:3" x14ac:dyDescent="0.25">
      <c r="B38" s="2" t="s">
        <v>52</v>
      </c>
      <c r="C38" s="28" t="s">
        <v>50</v>
      </c>
    </row>
  </sheetData>
  <mergeCells count="1">
    <mergeCell ref="B3:C3"/>
  </mergeCells>
  <conditionalFormatting sqref="C18:C20 C22:C23">
    <cfRule type="cellIs" dxfId="19" priority="25" operator="equal">
      <formula>"N"</formula>
    </cfRule>
    <cfRule type="cellIs" dxfId="18" priority="26" operator="equal">
      <formula>"Y"</formula>
    </cfRule>
  </conditionalFormatting>
  <conditionalFormatting sqref="D16:D17">
    <cfRule type="cellIs" dxfId="17" priority="19" operator="equal">
      <formula>"N"</formula>
    </cfRule>
    <cfRule type="cellIs" dxfId="16" priority="20" operator="equal">
      <formula>"Y"</formula>
    </cfRule>
  </conditionalFormatting>
  <conditionalFormatting sqref="D22">
    <cfRule type="cellIs" dxfId="15" priority="15" operator="equal">
      <formula>"N"</formula>
    </cfRule>
    <cfRule type="cellIs" dxfId="14" priority="16" operator="equal">
      <formula>"Y"</formula>
    </cfRule>
  </conditionalFormatting>
  <conditionalFormatting sqref="C15">
    <cfRule type="cellIs" dxfId="13" priority="11" operator="equal">
      <formula>"N"</formula>
    </cfRule>
    <cfRule type="cellIs" dxfId="12" priority="12" operator="equal">
      <formula>"Y"</formula>
    </cfRule>
  </conditionalFormatting>
  <conditionalFormatting sqref="C21">
    <cfRule type="cellIs" dxfId="11" priority="9" operator="equal">
      <formula>"N"</formula>
    </cfRule>
    <cfRule type="cellIs" dxfId="10" priority="10" operator="equal">
      <formula>"Y"</formula>
    </cfRule>
  </conditionalFormatting>
  <conditionalFormatting sqref="C27">
    <cfRule type="cellIs" dxfId="9" priority="7" operator="equal">
      <formula>"N"</formula>
    </cfRule>
    <cfRule type="cellIs" dxfId="8" priority="8" operator="equal">
      <formula>"Y"</formula>
    </cfRule>
  </conditionalFormatting>
  <conditionalFormatting sqref="D23">
    <cfRule type="cellIs" dxfId="7" priority="5" operator="equal">
      <formula>"N"</formula>
    </cfRule>
    <cfRule type="cellIs" dxfId="6" priority="6" operator="equal">
      <formula>"Y"</formula>
    </cfRule>
  </conditionalFormatting>
  <conditionalFormatting sqref="C16:C17">
    <cfRule type="cellIs" dxfId="5" priority="1" operator="equal">
      <formula>"N"</formula>
    </cfRule>
    <cfRule type="cellIs" dxfId="4" priority="2" operator="equal">
      <formula>"Y"</formula>
    </cfRule>
  </conditionalFormatting>
  <hyperlinks>
    <hyperlink ref="C1" r:id="rId1" display="\\gad.intra.net\CA\Applications\Finance\RPA\IDS\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</sheetPr>
  <dimension ref="A1:C16"/>
  <sheetViews>
    <sheetView showGridLines="0" tabSelected="1" zoomScale="70" zoomScaleNormal="70" workbookViewId="0">
      <selection activeCell="C3" sqref="C3"/>
    </sheetView>
  </sheetViews>
  <sheetFormatPr defaultColWidth="10.85546875" defaultRowHeight="15" x14ac:dyDescent="0.25"/>
  <cols>
    <col min="1" max="1" width="14.7109375" style="1" customWidth="1"/>
    <col min="2" max="3" width="78.5703125" style="15" customWidth="1"/>
    <col min="4" max="16384" width="10.85546875" style="1"/>
  </cols>
  <sheetData>
    <row r="1" spans="1:3" x14ac:dyDescent="0.25">
      <c r="A1" s="10" t="s">
        <v>11</v>
      </c>
      <c r="B1" s="11" t="s">
        <v>12</v>
      </c>
      <c r="C1" s="11" t="s">
        <v>13</v>
      </c>
    </row>
    <row r="2" spans="1:3" ht="14.1" customHeight="1" x14ac:dyDescent="0.25">
      <c r="A2" s="10" t="s">
        <v>14</v>
      </c>
      <c r="B2" s="12" t="s">
        <v>79</v>
      </c>
      <c r="C2" s="12" t="s">
        <v>79</v>
      </c>
    </row>
    <row r="3" spans="1:3" ht="14.1" customHeight="1" x14ac:dyDescent="0.25">
      <c r="A3" s="10" t="s">
        <v>15</v>
      </c>
      <c r="B3" s="13"/>
      <c r="C3" s="12" t="s">
        <v>89</v>
      </c>
    </row>
    <row r="4" spans="1:3" ht="15.95" customHeight="1" x14ac:dyDescent="0.25">
      <c r="A4" s="10" t="s">
        <v>16</v>
      </c>
      <c r="B4" s="13"/>
      <c r="C4" s="12"/>
    </row>
    <row r="5" spans="1:3" ht="17.100000000000001" customHeight="1" x14ac:dyDescent="0.25">
      <c r="A5" s="10" t="s">
        <v>17</v>
      </c>
      <c r="B5" s="13"/>
      <c r="C5" s="13"/>
    </row>
    <row r="6" spans="1:3" ht="17.100000000000001" customHeight="1" x14ac:dyDescent="0.25">
      <c r="A6" s="10" t="s">
        <v>18</v>
      </c>
      <c r="B6" s="13"/>
      <c r="C6" s="13"/>
    </row>
    <row r="7" spans="1:3" x14ac:dyDescent="0.25">
      <c r="A7" s="10" t="s">
        <v>19</v>
      </c>
      <c r="B7" s="13" t="s">
        <v>77</v>
      </c>
      <c r="C7" s="13" t="s">
        <v>78</v>
      </c>
    </row>
    <row r="8" spans="1:3" ht="75" customHeight="1" x14ac:dyDescent="0.25">
      <c r="A8" s="10" t="s">
        <v>20</v>
      </c>
      <c r="B8" s="13" t="str">
        <f>"Dear All,
An Error occured during the execution of the robot: Template process
Part of the process: WWW
Stage Error: XXX
Type Error: YYY
Details Error: ZZZ
"</f>
        <v xml:space="preserve">Dear All,
An Error occured during the execution of the robot: Template process
Part of the process: WWW
Stage Error: XXX
Type Error: YYY
Details Error: ZZZ
</v>
      </c>
      <c r="C8" s="14" t="str">
        <f>"Dear users,
The process launched by the robot has been completed.
Date: WWW
Duration: XXX
For questions: please follow this link: YYY
Please find attached an overview of the IDS Reporting.
"</f>
        <v xml:space="preserve">Dear users,
The process launched by the robot has been completed.
Date: WWW
Duration: XXX
For questions: please follow this link: YYY
Please find attached an overview of the IDS Reporting.
</v>
      </c>
    </row>
    <row r="9" spans="1:3" ht="31.5" customHeight="1" x14ac:dyDescent="0.25">
      <c r="A9" s="18" t="s">
        <v>21</v>
      </c>
      <c r="B9" s="17" t="str">
        <f>SUBSTITUTE(B8,CHAR(10),"&lt;BR&gt;&lt;BR&gt;")</f>
        <v>Dear All,&lt;BR&gt;&lt;BR&gt;&lt;BR&gt;&lt;BR&gt;An Error occured during the execution of the robot: Template process&lt;BR&gt;&lt;BR&gt;&lt;BR&gt;&lt;BR&gt;Part of the process: WWW&lt;BR&gt;&lt;BR&gt;Stage Error: XXX&lt;BR&gt;&lt;BR&gt;Type Error: YYY&lt;BR&gt;&lt;BR&gt;Details Error: ZZZ&lt;BR&gt;&lt;BR&gt;</v>
      </c>
      <c r="C9" s="17" t="str">
        <f>SUBSTITUTE(C8,CHAR(10),"&lt;BR&gt;&lt;BR&gt;")</f>
        <v>Dear users,&lt;BR&gt;&lt;BR&gt;&lt;BR&gt;&lt;BR&gt;The process launched by the robot has been completed.&lt;BR&gt;&lt;BR&gt;Date: WWW&lt;BR&gt;&lt;BR&gt;Duration: XXX&lt;BR&gt;&lt;BR&gt;&lt;BR&gt;&lt;BR&gt;For questions: please follow this link: YYY&lt;BR&gt;&lt;BR&gt;&lt;BR&gt;&lt;BR&gt;Please find attached an overview of the IDS Reporting.&lt;BR&gt;&lt;BR&gt;</v>
      </c>
    </row>
    <row r="10" spans="1:3" ht="90" x14ac:dyDescent="0.25">
      <c r="A10" s="10" t="s">
        <v>22</v>
      </c>
      <c r="B10" s="13" t="s">
        <v>75</v>
      </c>
      <c r="C10" s="13" t="s">
        <v>76</v>
      </c>
    </row>
    <row r="11" spans="1:3" ht="26.25" customHeight="1" x14ac:dyDescent="0.25">
      <c r="A11" s="18" t="s">
        <v>23</v>
      </c>
      <c r="B11" s="17" t="str">
        <f>SUBSTITUTE(B10,CHAR(10),"&lt;BR&gt;&lt;BR&gt;")</f>
        <v>Kind Regards&lt;BR&gt;&lt;BR&gt;The Blueprism's robot&lt;BR&gt;&lt;BR&gt;&lt;BR&gt;&lt;BR&gt;https://www.blueprism.com/&lt;BR&gt;&lt;BR&gt;</v>
      </c>
      <c r="C11" s="17" t="str">
        <f>SUBSTITUTE(C10,CHAR(10),"&lt;BR&gt;&lt;BR&gt;")</f>
        <v>Kind Regards&lt;BR&gt;&lt;BR&gt;The Blueprism's robot&lt;BR&gt;&lt;BR&gt;&lt;BR&gt;&lt;BR&gt;https://www.blueprism.com/&lt;BR&gt;&lt;BR&gt;&lt;BR&gt;&lt;BR&gt;</v>
      </c>
    </row>
    <row r="12" spans="1:3" x14ac:dyDescent="0.25">
      <c r="A12" s="10" t="s">
        <v>24</v>
      </c>
      <c r="B12" s="13"/>
      <c r="C12" s="13"/>
    </row>
    <row r="13" spans="1:3" ht="27.75" customHeight="1" x14ac:dyDescent="0.25">
      <c r="A13" s="18" t="s">
        <v>25</v>
      </c>
      <c r="B13" s="16" t="str">
        <f>SUBSTITUTE(B12,CHAR(10),"&lt;BR&gt;&lt;BR&gt;")</f>
        <v/>
      </c>
      <c r="C13" s="16" t="str">
        <f>SUBSTITUTE(C12,CHAR(10),"&lt;BR&gt;&lt;BR&gt;")</f>
        <v/>
      </c>
    </row>
    <row r="14" spans="1:3" x14ac:dyDescent="0.25">
      <c r="A14" s="10" t="s">
        <v>26</v>
      </c>
      <c r="B14" s="13"/>
      <c r="C14" s="13"/>
    </row>
    <row r="15" spans="1:3" x14ac:dyDescent="0.25">
      <c r="A15" s="10" t="s">
        <v>27</v>
      </c>
      <c r="B15" s="13"/>
      <c r="C15" s="13"/>
    </row>
    <row r="16" spans="1:3" x14ac:dyDescent="0.25">
      <c r="A16" s="10" t="s">
        <v>28</v>
      </c>
      <c r="B16" s="13"/>
      <c r="C16" s="13"/>
    </row>
  </sheetData>
  <conditionalFormatting sqref="B10 B12 B14:B16 B4:B8 B2">
    <cfRule type="expression" dxfId="3" priority="4">
      <formula>#REF!="Automatic"</formula>
    </cfRule>
  </conditionalFormatting>
  <conditionalFormatting sqref="B3">
    <cfRule type="expression" dxfId="2" priority="3">
      <formula>#REF!="Automatic"</formula>
    </cfRule>
  </conditionalFormatting>
  <conditionalFormatting sqref="C10 C12 C14:C16 C4:C8 C2">
    <cfRule type="expression" dxfId="1" priority="2">
      <formula>#REF!="Automatic"</formula>
    </cfRule>
  </conditionalFormatting>
  <conditionalFormatting sqref="C3">
    <cfRule type="expression" dxfId="0" priority="1">
      <formula>#REF!="Automatic"</formula>
    </cfRule>
  </conditionalFormatting>
  <hyperlinks>
    <hyperlink ref="B2" r:id="rId1"/>
    <hyperlink ref="C2" r:id="rId2"/>
    <hyperlink ref="C3" r:id="rId3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K12" sqref="K12"/>
    </sheetView>
  </sheetViews>
  <sheetFormatPr defaultRowHeight="15" x14ac:dyDescent="0.25"/>
  <cols>
    <col min="1" max="3" width="11" customWidth="1"/>
  </cols>
  <sheetData>
    <row r="1" spans="1:3" x14ac:dyDescent="0.25">
      <c r="A1" t="s">
        <v>80</v>
      </c>
      <c r="B1" t="s">
        <v>81</v>
      </c>
      <c r="C1" t="s">
        <v>82</v>
      </c>
    </row>
    <row r="2" spans="1:3" x14ac:dyDescent="0.25">
      <c r="A2" t="s">
        <v>83</v>
      </c>
    </row>
    <row r="3" spans="1:3" x14ac:dyDescent="0.25">
      <c r="A3" t="s">
        <v>84</v>
      </c>
    </row>
    <row r="4" spans="1:3" x14ac:dyDescent="0.25">
      <c r="A4" t="s">
        <v>85</v>
      </c>
    </row>
    <row r="5" spans="1:3" x14ac:dyDescent="0.25">
      <c r="A5" t="s">
        <v>86</v>
      </c>
    </row>
    <row r="6" spans="1:3" x14ac:dyDescent="0.25">
      <c r="A6" t="s">
        <v>87</v>
      </c>
    </row>
    <row r="7" spans="1:3" x14ac:dyDescent="0.25">
      <c r="A7" t="s">
        <v>88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Read-me</vt:lpstr>
      <vt:lpstr>Process launch</vt:lpstr>
      <vt:lpstr>Robot</vt:lpstr>
      <vt:lpstr>Communications</vt:lpstr>
      <vt:lpstr>Report</vt:lpstr>
      <vt:lpstr>Another_Value_1</vt:lpstr>
      <vt:lpstr>Another_Value_2</vt:lpstr>
      <vt:lpstr>Another_Value_3</vt:lpstr>
      <vt:lpstr>Email</vt:lpstr>
      <vt:lpstr>Folder_Error</vt:lpstr>
      <vt:lpstr>Folder_Files_Output</vt:lpstr>
      <vt:lpstr>Folder_Param_Save</vt:lpstr>
      <vt:lpstr>Folder_Report</vt:lpstr>
      <vt:lpstr>Input_Folder_1</vt:lpstr>
      <vt:lpstr>Input_Folder_2</vt:lpstr>
      <vt:lpstr>Main_File</vt:lpstr>
      <vt:lpstr>Month</vt:lpstr>
      <vt:lpstr>ProcessReadiness</vt:lpstr>
      <vt:lpstr>Report</vt:lpstr>
      <vt:lpstr>Working_Folder_1</vt:lpstr>
      <vt:lpstr>Working_Folder_2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Johnatan Georges</cp:lastModifiedBy>
  <dcterms:created xsi:type="dcterms:W3CDTF">2015-06-05T18:17:20Z</dcterms:created>
  <dcterms:modified xsi:type="dcterms:W3CDTF">2018-02-21T00:10:48Z</dcterms:modified>
</cp:coreProperties>
</file>